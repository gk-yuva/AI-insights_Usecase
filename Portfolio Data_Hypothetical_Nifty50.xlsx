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Portfolio Data_Hypothetical" sheetId="1" r:id="rId1"/>
  </sheets>
  <calcPr calcId="124519"/>
</workbook>
</file>

<file path=xl/calcChain.xml><?xml version="1.0" encoding="utf-8"?>
<calcChain xmlns="http://schemas.openxmlformats.org/spreadsheetml/2006/main">
  <c r="H2" i="1"/>
  <c r="F2"/>
  <c r="E2"/>
  <c r="H4"/>
  <c r="H3"/>
  <c r="F3"/>
  <c r="E3"/>
  <c r="G3" s="1"/>
  <c r="F4"/>
  <c r="E4"/>
  <c r="G4" l="1"/>
  <c r="G2"/>
</calcChain>
</file>

<file path=xl/sharedStrings.xml><?xml version="1.0" encoding="utf-8"?>
<sst xmlns="http://schemas.openxmlformats.org/spreadsheetml/2006/main" count="20" uniqueCount="17">
  <si>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</si>
  <si>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</si>
  <si>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</si>
  <si>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</si>
  <si>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</si>
  <si>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</si>
  <si>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</si>
  <si>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</si>
  <si>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</si>
  <si>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Sector</t>
  </si>
  <si>
    <t>Asset Class</t>
  </si>
  <si>
    <t>Mining</t>
  </si>
  <si>
    <t>Equity</t>
  </si>
  <si>
    <t>Precious Metals</t>
  </si>
  <si>
    <t>INFY</t>
  </si>
  <si>
    <t>ITC</t>
  </si>
  <si>
    <t>LT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</si>
</sst>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J3" sqref="J3"/>
    </sheetView>
  </sheetViews>
  <sheetFormatPr defaultRowHeight="14.4"/>
  <cols>
    <col min="1" max="1" width="31.88671875" bestFit="1" customWidth="1"/>
    <col min="2" max="2" width="9" bestFit="1" customWidth="1"/>
    <col min="3" max="3" width="8.33203125" bestFit="1" customWidth="1"/>
    <col min="4" max="4" width="8" bestFit="1" customWidth="1"/>
    <col min="5" max="6" width="10" bestFit="1" customWidth="1"/>
    <col min="7" max="7" width="9" bestFit="1" customWidth="1"/>
    <col min="8" max="8" width="7.77734375" bestFit="1" customWidth="1"/>
    <col min="9" max="9" width="7.88671875" bestFit="1" customWidth="1"/>
    <col min="10" max="10" width="10.44140625" bestFit="1" customWidth="1"/>
    <col min="11" max="11" width="20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>
      <c r="A2" t="s">
        <v>14</v>
      </c>
      <c r="B2">
        <v>50</v>
      </c>
      <c r="C2">
        <v>1500</v>
      </c>
      <c r="D2">
        <v>1650</v>
      </c>
      <c r="E2">
        <f>B2*C2</f>
        <v>75000</v>
      </c>
      <c r="F2">
        <f>B2*D2</f>
        <v>82500</v>
      </c>
      <c r="G2">
        <f>F2-E2</f>
        <v>7500</v>
      </c>
      <c r="H2">
        <f>D2-C2</f>
        <v>150</v>
      </c>
      <c r="I2">
        <v>0.52</v>
      </c>
      <c r="J2" t="s">
        <v>12</v>
      </c>
      <c r="K2" t="s">
        <v>13</v>
      </c>
    </row>
    <row r="3" spans="1:11">
      <c r="A3" t="s">
        <v>15</v>
      </c>
      <c r="B3">
        <v>150</v>
      </c>
      <c r="C3">
        <v>350</v>
      </c>
      <c r="D3">
        <v>380</v>
      </c>
      <c r="E3">
        <f>B3*C3</f>
        <v>52500</v>
      </c>
      <c r="F3">
        <f>B3*D3</f>
        <v>57000</v>
      </c>
      <c r="G3">
        <f>F3-E3</f>
        <v>4500</v>
      </c>
      <c r="H3">
        <f>D3-C3</f>
        <v>30</v>
      </c>
      <c r="I3">
        <v>-1.65</v>
      </c>
      <c r="J3" t="s">
        <v>12</v>
      </c>
      <c r="K3" t="s">
        <v>11</v>
      </c>
    </row>
    <row r="4" spans="1:11">
      <c r="A4" t="s">
        <v>16</v>
      </c>
      <c r="B4">
        <v>10</v>
      </c>
      <c r="C4">
        <v>5200</v>
      </c>
      <c r="D4">
        <v>4164</v>
      </c>
      <c r="E4">
        <f>B4*C4</f>
        <v>52000</v>
      </c>
      <c r="F4">
        <f>B4*D4</f>
        <v>41640</v>
      </c>
      <c r="G4">
        <f>F4-E4</f>
        <v>-10360</v>
      </c>
      <c r="H4">
        <f>D4-C4</f>
        <v>-1036</v>
      </c>
      <c r="I4">
        <v>-0.34</v>
      </c>
      <c r="J4" t="s">
        <v>12</v>
      </c>
      <c r="K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Data_Hypothetical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2025-11-02T05:33:34Z</dcterms:created>
  <dcterms:modified xsi:type="dcterms:W3CDTF">2026-01-04T11:08:45Z</dcterms:modified>
</cp:coreProperties>
</file>